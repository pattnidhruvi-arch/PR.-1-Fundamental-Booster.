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c7a9a8aee03864/Documents/"/>
    </mc:Choice>
  </mc:AlternateContent>
  <xr:revisionPtr revIDLastSave="0" documentId="8_{534B08E2-7DC3-4D2B-AC2A-EA64DC288D06}" xr6:coauthVersionLast="47" xr6:coauthVersionMax="47" xr10:uidLastSave="{00000000-0000-0000-0000-000000000000}"/>
  <bookViews>
    <workbookView xWindow="-108" yWindow="-108" windowWidth="23256" windowHeight="12456" xr2:uid="{0775DAB4-0726-4A6A-BC4D-3A4FD6026FE3}"/>
  </bookViews>
  <sheets>
    <sheet name="students grade" sheetId="1" r:id="rId1"/>
    <sheet name="Employee Data" sheetId="2" r:id="rId2"/>
    <sheet name="sales data " sheetId="3" r:id="rId3"/>
    <sheet name="Project Instructions" sheetId="5" r:id="rId4"/>
    <sheet name="Sheet2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1" i="1"/>
  <c r="F10" i="1"/>
  <c r="F9" i="1"/>
  <c r="D9" i="2"/>
  <c r="D8" i="2"/>
  <c r="E8" i="3"/>
  <c r="E3" i="3"/>
  <c r="E4" i="3"/>
  <c r="E5" i="3"/>
  <c r="E6" i="3"/>
  <c r="E2" i="3"/>
  <c r="L9" i="1"/>
  <c r="L8" i="1"/>
  <c r="K10" i="1"/>
  <c r="K2" i="1"/>
  <c r="L3" i="1"/>
  <c r="L4" i="1"/>
  <c r="L5" i="1"/>
  <c r="L6" i="1"/>
  <c r="L2" i="1"/>
  <c r="K3" i="1"/>
  <c r="K4" i="1"/>
  <c r="K5" i="1"/>
  <c r="K6" i="1"/>
  <c r="J3" i="1"/>
  <c r="J4" i="1"/>
  <c r="J5" i="1"/>
  <c r="J6" i="1"/>
  <c r="J2" i="1"/>
  <c r="H2" i="1"/>
  <c r="J8" i="1"/>
  <c r="I8" i="1"/>
  <c r="H4" i="1"/>
  <c r="H5" i="1"/>
  <c r="H6" i="1"/>
  <c r="E2" i="1"/>
  <c r="F2" i="1" s="1"/>
  <c r="E6" i="1"/>
  <c r="F6" i="1" s="1"/>
  <c r="E3" i="1"/>
  <c r="F3" i="1" s="1"/>
  <c r="E4" i="1"/>
  <c r="F4" i="1" s="1"/>
  <c r="E5" i="1"/>
  <c r="F5" i="1" s="1"/>
  <c r="I3" i="1" l="1"/>
  <c r="H9" i="1"/>
  <c r="G2" i="1"/>
  <c r="I2" i="1"/>
  <c r="G6" i="1"/>
  <c r="I6" i="1"/>
  <c r="G3" i="1"/>
  <c r="G4" i="1"/>
  <c r="I4" i="1"/>
  <c r="G5" i="1"/>
  <c r="I5" i="1"/>
</calcChain>
</file>

<file path=xl/sharedStrings.xml><?xml version="1.0" encoding="utf-8"?>
<sst xmlns="http://schemas.openxmlformats.org/spreadsheetml/2006/main" count="53" uniqueCount="47">
  <si>
    <t>Student Name</t>
  </si>
  <si>
    <t>Math</t>
  </si>
  <si>
    <t>Science</t>
  </si>
  <si>
    <t>Total</t>
  </si>
  <si>
    <t>Percentage</t>
  </si>
  <si>
    <t>Grade</t>
  </si>
  <si>
    <t>Riya</t>
  </si>
  <si>
    <t>Dev</t>
  </si>
  <si>
    <t>Jayraj</t>
  </si>
  <si>
    <t>Neha</t>
  </si>
  <si>
    <t>Amit</t>
  </si>
  <si>
    <t>Average</t>
  </si>
  <si>
    <t>Percentage(MAX)</t>
  </si>
  <si>
    <t>Percentage(MIN)</t>
  </si>
  <si>
    <t>Student ID Student Name</t>
  </si>
  <si>
    <t>COUNTIF</t>
  </si>
  <si>
    <t>Result</t>
  </si>
  <si>
    <t>Product ID</t>
  </si>
  <si>
    <t>Product Name</t>
  </si>
  <si>
    <t>Quantity</t>
  </si>
  <si>
    <t>Unit Price</t>
  </si>
  <si>
    <t>Total Sales</t>
  </si>
  <si>
    <t>P101</t>
  </si>
  <si>
    <t>Laptop</t>
  </si>
  <si>
    <t>P102</t>
  </si>
  <si>
    <t>Mouse</t>
  </si>
  <si>
    <t>P103</t>
  </si>
  <si>
    <t>Keyboard</t>
  </si>
  <si>
    <t>P104</t>
  </si>
  <si>
    <t>Monitor</t>
  </si>
  <si>
    <t>P105</t>
  </si>
  <si>
    <t>Printer</t>
  </si>
  <si>
    <t>Grand Toral</t>
  </si>
  <si>
    <t>Employee ID</t>
  </si>
  <si>
    <t>Employee Name</t>
  </si>
  <si>
    <t>Department</t>
  </si>
  <si>
    <t>Salary</t>
  </si>
  <si>
    <t>HR</t>
  </si>
  <si>
    <t>IT</t>
  </si>
  <si>
    <t>Sales</t>
  </si>
  <si>
    <t xml:space="preserve"> Amit</t>
  </si>
  <si>
    <t>Total salary</t>
  </si>
  <si>
    <t>Average salary</t>
  </si>
  <si>
    <t>Highest percentage</t>
  </si>
  <si>
    <t>Lowest percentage</t>
  </si>
  <si>
    <t>Top student</t>
  </si>
  <si>
    <t>Lowest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</si>
</sst>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25D6-528B-4D73-AFD3-20B50C9B441A}">
  <dimension ref="A1:L12"/>
  <sheetViews>
    <sheetView tabSelected="1" zoomScale="203" zoomScaleNormal="203" workbookViewId="0">
      <selection activeCell="F12" sqref="F12"/>
    </sheetView>
  </sheetViews>
  <sheetFormatPr defaultRowHeight="14.4" x14ac:dyDescent="0.3"/>
  <cols>
    <col min="1" max="1" width="9.21875" bestFit="1" customWidth="1"/>
    <col min="2" max="2" width="12.33203125" customWidth="1"/>
    <col min="5" max="5" width="16.88671875" customWidth="1"/>
    <col min="6" max="6" width="10.21875" bestFit="1" customWidth="1"/>
    <col min="9" max="9" width="14.88671875" customWidth="1"/>
    <col min="10" max="10" width="15.6640625" customWidth="1"/>
    <col min="11" max="11" width="11.109375" customWidth="1"/>
    <col min="12" max="12" width="13.21875" customWidth="1"/>
  </cols>
  <sheetData>
    <row r="1" spans="1:12" x14ac:dyDescent="0.3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t="s">
        <v>11</v>
      </c>
      <c r="I1" t="s">
        <v>12</v>
      </c>
      <c r="J1" t="s">
        <v>13</v>
      </c>
      <c r="K1" t="s">
        <v>15</v>
      </c>
      <c r="L1" t="s">
        <v>16</v>
      </c>
    </row>
    <row r="2" spans="1:12" x14ac:dyDescent="0.3">
      <c r="A2" s="1">
        <v>103</v>
      </c>
      <c r="B2" s="1" t="s">
        <v>8</v>
      </c>
      <c r="C2" s="1">
        <v>45</v>
      </c>
      <c r="D2" s="1">
        <v>55</v>
      </c>
      <c r="E2" s="1">
        <f>C2+D2</f>
        <v>100</v>
      </c>
      <c r="F2" s="1">
        <f>E2/200*100</f>
        <v>50</v>
      </c>
      <c r="G2" s="1" t="str">
        <f>IF(F2&gt;=90,"A+",IF(F2&gt;80,"A",IF(F2&gt;70,"B",IF(F2&gt;=60,"C",IF(F2&gt;=35,"D","Fail")))))</f>
        <v>D</v>
      </c>
      <c r="H2">
        <f>_xlfn.RANK.EQ(F2,$F$2:$F$6,0)</f>
        <v>5</v>
      </c>
      <c r="I2">
        <f>MAX(F2:F6)</f>
        <v>93.5</v>
      </c>
      <c r="J2">
        <f>MIN($F$2:$F$6)</f>
        <v>50</v>
      </c>
      <c r="K2">
        <f>COUNTIF(F2:F6,"&gt;50")</f>
        <v>4</v>
      </c>
      <c r="L2" t="str">
        <f>IF(F2&gt;=35,"PASS","FAIL")</f>
        <v>PASS</v>
      </c>
    </row>
    <row r="3" spans="1:12" x14ac:dyDescent="0.3">
      <c r="A3" s="1">
        <v>105</v>
      </c>
      <c r="B3" s="1" t="s">
        <v>10</v>
      </c>
      <c r="C3" s="1">
        <v>60</v>
      </c>
      <c r="D3" s="1">
        <v>65</v>
      </c>
      <c r="E3" s="1">
        <f>C3+D3</f>
        <v>125</v>
      </c>
      <c r="F3" s="1">
        <f>E3/200*100</f>
        <v>62.5</v>
      </c>
      <c r="G3" s="1" t="str">
        <f>IF(F3&gt;=90,"A+",IF(F3&gt;80,"A",IF(F3&gt;70,"B",IF(F3&gt;=60,"C",IF(F3&gt;=35,"D","Fail")))))</f>
        <v>C</v>
      </c>
      <c r="H3">
        <v>4</v>
      </c>
      <c r="I3">
        <f>MAX(F2:F6)</f>
        <v>93.5</v>
      </c>
      <c r="J3">
        <f t="shared" ref="J3:J6" si="0">MIN($F$2:$F$6)</f>
        <v>50</v>
      </c>
      <c r="K3">
        <f t="shared" ref="K3:K6" si="1">COUNTIF(F3:F7,"&gt;75")</f>
        <v>3</v>
      </c>
      <c r="L3" t="str">
        <f t="shared" ref="L3:L6" si="2">IF(F3&gt;=35,"PASS","FAIL")</f>
        <v>PASS</v>
      </c>
    </row>
    <row r="4" spans="1:12" x14ac:dyDescent="0.3">
      <c r="A4" s="1">
        <v>102</v>
      </c>
      <c r="B4" s="1" t="s">
        <v>7</v>
      </c>
      <c r="C4" s="1">
        <v>75</v>
      </c>
      <c r="D4" s="1">
        <v>80</v>
      </c>
      <c r="E4" s="1">
        <f>C4+D4</f>
        <v>155</v>
      </c>
      <c r="F4" s="1">
        <f>E4/200*100</f>
        <v>77.5</v>
      </c>
      <c r="G4" s="1" t="str">
        <f>IF(F4&gt;=90,"A+",IF(F4&gt;80,"A",IF(F4&gt;70,"B",IF(F4&gt;=60,"C",IF(F4&gt;=35,"D","Fail")))))</f>
        <v>B</v>
      </c>
      <c r="H4">
        <f t="shared" ref="H4:H6" si="3">COUNTIF(C4:C8,"&gt;50")</f>
        <v>3</v>
      </c>
      <c r="I4">
        <f t="shared" ref="I4:I6" si="4">MAX(F4:F8)</f>
        <v>93.5</v>
      </c>
      <c r="J4">
        <f t="shared" si="0"/>
        <v>50</v>
      </c>
      <c r="K4">
        <f t="shared" si="1"/>
        <v>3</v>
      </c>
      <c r="L4" t="str">
        <f t="shared" si="2"/>
        <v>PASS</v>
      </c>
    </row>
    <row r="5" spans="1:12" x14ac:dyDescent="0.3">
      <c r="A5" s="1">
        <v>101</v>
      </c>
      <c r="B5" s="1" t="s">
        <v>6</v>
      </c>
      <c r="C5" s="1">
        <v>85</v>
      </c>
      <c r="D5" s="1">
        <v>90</v>
      </c>
      <c r="E5" s="1">
        <f>C5+D5</f>
        <v>175</v>
      </c>
      <c r="F5" s="1">
        <f>E5/200*100</f>
        <v>87.5</v>
      </c>
      <c r="G5" s="1" t="str">
        <f>IF(F5&gt;=90,"A+",IF(F5&gt;80,"A",IF(F5&gt;70,"B",IF(F5&gt;=60,"C",IF(F5&gt;=35,"D","Fail")))))</f>
        <v>A</v>
      </c>
      <c r="H5">
        <f t="shared" si="3"/>
        <v>2</v>
      </c>
      <c r="I5">
        <f t="shared" si="4"/>
        <v>93.5</v>
      </c>
      <c r="J5">
        <f t="shared" si="0"/>
        <v>50</v>
      </c>
      <c r="K5">
        <f t="shared" si="1"/>
        <v>3</v>
      </c>
      <c r="L5" t="str">
        <f t="shared" si="2"/>
        <v>PASS</v>
      </c>
    </row>
    <row r="6" spans="1:12" x14ac:dyDescent="0.3">
      <c r="A6" s="1">
        <v>104</v>
      </c>
      <c r="B6" s="1" t="s">
        <v>9</v>
      </c>
      <c r="C6" s="1">
        <v>95</v>
      </c>
      <c r="D6" s="1">
        <v>92</v>
      </c>
      <c r="E6" s="1">
        <f>C6+D6</f>
        <v>187</v>
      </c>
      <c r="F6" s="1">
        <f>E6/200*100</f>
        <v>93.5</v>
      </c>
      <c r="G6" s="1" t="str">
        <f>IF(F6&gt;=90,"A+",IF(F6&gt;80,"A",IF(F6&gt;70,"B",IF(F6&gt;=60,"C",IF(F6&gt;=35,"D","Fail")))))</f>
        <v>A+</v>
      </c>
      <c r="H6">
        <f t="shared" si="3"/>
        <v>1</v>
      </c>
      <c r="I6">
        <f t="shared" si="4"/>
        <v>93.5</v>
      </c>
      <c r="J6">
        <f t="shared" si="0"/>
        <v>50</v>
      </c>
      <c r="K6">
        <f t="shared" si="1"/>
        <v>2</v>
      </c>
      <c r="L6" t="str">
        <f t="shared" si="2"/>
        <v>PASS</v>
      </c>
    </row>
    <row r="8" spans="1:12" x14ac:dyDescent="0.3">
      <c r="I8">
        <f>MAX(F2:F6)</f>
        <v>93.5</v>
      </c>
      <c r="J8">
        <f>MIN(F2:F6)</f>
        <v>50</v>
      </c>
      <c r="K8">
        <v>5</v>
      </c>
      <c r="L8">
        <f>COUNTIF(L2:L6,"PASS")</f>
        <v>5</v>
      </c>
    </row>
    <row r="9" spans="1:12" x14ac:dyDescent="0.3">
      <c r="E9" t="s">
        <v>43</v>
      </c>
      <c r="F9">
        <f>MAX(F2:F6)</f>
        <v>93.5</v>
      </c>
      <c r="H9">
        <f>AVERAGEIFS(F2:F6,F2:F6,"&gt;60")</f>
        <v>80.25</v>
      </c>
      <c r="L9">
        <f>COUNTIF(L2:L6,"FAIL")</f>
        <v>0</v>
      </c>
    </row>
    <row r="10" spans="1:12" x14ac:dyDescent="0.3">
      <c r="E10" t="s">
        <v>44</v>
      </c>
      <c r="F10">
        <f>MIN(F2:F6)</f>
        <v>50</v>
      </c>
      <c r="I10">
        <v>3</v>
      </c>
      <c r="K10">
        <f>COUNTA(B2:B6)</f>
        <v>5</v>
      </c>
    </row>
    <row r="11" spans="1:12" x14ac:dyDescent="0.3">
      <c r="E11" t="s">
        <v>45</v>
      </c>
      <c r="F11" t="str">
        <f>INDEX(B2:B6,MATCH(MAX(F2:F6),F2:F6,0))</f>
        <v>Neha</v>
      </c>
    </row>
    <row r="12" spans="1:12" x14ac:dyDescent="0.3">
      <c r="E12" t="s">
        <v>46</v>
      </c>
      <c r="F12" t="str">
        <f>INDEX(B2:B6,MATCH(MIN(F2:F6),F2:F6,0))</f>
        <v>Jayraj</v>
      </c>
    </row>
  </sheetData>
  <sortState xmlns:xlrd2="http://schemas.microsoft.com/office/spreadsheetml/2017/richdata2" ref="A2:G6">
    <sortCondition ref="F2:F6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152D-EB5B-4B8A-A20B-372D5353262C}">
  <dimension ref="A1:D9"/>
  <sheetViews>
    <sheetView zoomScale="194" zoomScaleNormal="194" workbookViewId="0">
      <selection activeCell="B14" sqref="B14"/>
    </sheetView>
  </sheetViews>
  <sheetFormatPr defaultRowHeight="14.4" x14ac:dyDescent="0.3"/>
  <cols>
    <col min="1" max="1" width="11.44140625" customWidth="1"/>
    <col min="2" max="2" width="17.88671875" customWidth="1"/>
    <col min="3" max="3" width="12.88671875" customWidth="1"/>
  </cols>
  <sheetData>
    <row r="1" spans="1:4" x14ac:dyDescent="0.3">
      <c r="A1" s="3" t="s">
        <v>33</v>
      </c>
      <c r="B1" s="3" t="s">
        <v>34</v>
      </c>
      <c r="C1" s="3" t="s">
        <v>35</v>
      </c>
      <c r="D1" s="3" t="s">
        <v>36</v>
      </c>
    </row>
    <row r="2" spans="1:4" x14ac:dyDescent="0.3">
      <c r="A2" s="3">
        <v>101</v>
      </c>
      <c r="B2" s="3" t="s">
        <v>6</v>
      </c>
      <c r="C2" s="3" t="s">
        <v>37</v>
      </c>
      <c r="D2" s="3">
        <v>25000</v>
      </c>
    </row>
    <row r="3" spans="1:4" x14ac:dyDescent="0.3">
      <c r="A3" s="3">
        <v>102</v>
      </c>
      <c r="B3" s="3" t="s">
        <v>7</v>
      </c>
      <c r="C3" s="3" t="s">
        <v>38</v>
      </c>
      <c r="D3" s="3">
        <v>35000</v>
      </c>
    </row>
    <row r="4" spans="1:4" x14ac:dyDescent="0.3">
      <c r="A4" s="3">
        <v>103</v>
      </c>
      <c r="B4" s="3" t="s">
        <v>8</v>
      </c>
      <c r="C4" s="3" t="s">
        <v>39</v>
      </c>
      <c r="D4" s="3">
        <v>30000</v>
      </c>
    </row>
    <row r="5" spans="1:4" x14ac:dyDescent="0.3">
      <c r="A5" s="3">
        <v>104</v>
      </c>
      <c r="B5" s="3" t="s">
        <v>9</v>
      </c>
      <c r="C5" s="3" t="s">
        <v>38</v>
      </c>
      <c r="D5" s="3">
        <v>45000</v>
      </c>
    </row>
    <row r="6" spans="1:4" x14ac:dyDescent="0.3">
      <c r="A6" s="3">
        <v>105</v>
      </c>
      <c r="B6" s="3" t="s">
        <v>40</v>
      </c>
      <c r="C6" s="3" t="s">
        <v>37</v>
      </c>
      <c r="D6" s="3">
        <v>28000</v>
      </c>
    </row>
    <row r="8" spans="1:4" x14ac:dyDescent="0.3">
      <c r="C8" t="s">
        <v>41</v>
      </c>
      <c r="D8">
        <f>SUM(D2:D6)</f>
        <v>163000</v>
      </c>
    </row>
    <row r="9" spans="1:4" x14ac:dyDescent="0.3">
      <c r="C9" t="s">
        <v>42</v>
      </c>
      <c r="D9">
        <f>AVERAGE(D2:D6)</f>
        <v>32600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A303A-EDD1-43CB-8F89-4D87AB8DD232}">
  <dimension ref="A1:E8"/>
  <sheetViews>
    <sheetView zoomScale="218" zoomScaleNormal="218" workbookViewId="0"/>
  </sheetViews>
  <sheetFormatPr defaultRowHeight="14.4" x14ac:dyDescent="0.3"/>
  <cols>
    <col min="1" max="1" width="9.77734375" customWidth="1"/>
    <col min="2" max="2" width="14.44140625" customWidth="1"/>
    <col min="3" max="3" width="9.5546875" customWidth="1"/>
    <col min="4" max="4" width="10.77734375" customWidth="1"/>
    <col min="5" max="5" width="10" customWidth="1"/>
  </cols>
  <sheetData>
    <row r="1" spans="1:5" x14ac:dyDescent="0.3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</row>
    <row r="2" spans="1:5" x14ac:dyDescent="0.3">
      <c r="A2" s="2" t="s">
        <v>22</v>
      </c>
      <c r="B2" s="2" t="s">
        <v>23</v>
      </c>
      <c r="C2" s="2">
        <v>5</v>
      </c>
      <c r="D2" s="2">
        <v>40000</v>
      </c>
      <c r="E2" s="2">
        <f>C2*D2</f>
        <v>200000</v>
      </c>
    </row>
    <row r="3" spans="1:5" x14ac:dyDescent="0.3">
      <c r="A3" s="2" t="s">
        <v>24</v>
      </c>
      <c r="B3" s="2" t="s">
        <v>25</v>
      </c>
      <c r="C3" s="2">
        <v>10</v>
      </c>
      <c r="D3" s="2">
        <v>500</v>
      </c>
      <c r="E3" s="2">
        <f t="shared" ref="E3:E6" si="0">C3*D3</f>
        <v>5000</v>
      </c>
    </row>
    <row r="4" spans="1:5" x14ac:dyDescent="0.3">
      <c r="A4" s="2" t="s">
        <v>26</v>
      </c>
      <c r="B4" s="2" t="s">
        <v>27</v>
      </c>
      <c r="C4" s="2">
        <v>8</v>
      </c>
      <c r="D4" s="2">
        <v>1200</v>
      </c>
      <c r="E4" s="2">
        <f t="shared" si="0"/>
        <v>9600</v>
      </c>
    </row>
    <row r="5" spans="1:5" x14ac:dyDescent="0.3">
      <c r="A5" s="2" t="s">
        <v>28</v>
      </c>
      <c r="B5" s="2" t="s">
        <v>29</v>
      </c>
      <c r="C5" s="2">
        <v>4</v>
      </c>
      <c r="D5" s="2">
        <v>8000</v>
      </c>
      <c r="E5" s="2">
        <f t="shared" si="0"/>
        <v>32000</v>
      </c>
    </row>
    <row r="6" spans="1:5" x14ac:dyDescent="0.3">
      <c r="A6" s="2" t="s">
        <v>30</v>
      </c>
      <c r="B6" s="2" t="s">
        <v>31</v>
      </c>
      <c r="C6" s="2">
        <v>3</v>
      </c>
      <c r="D6" s="2">
        <v>6000</v>
      </c>
      <c r="E6" s="2">
        <f t="shared" si="0"/>
        <v>18000</v>
      </c>
    </row>
    <row r="8" spans="1:5" x14ac:dyDescent="0.3">
      <c r="D8" t="s">
        <v>32</v>
      </c>
      <c r="E8">
        <f>SUM(E2:E6)</f>
        <v>264600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C5B0-B3F9-47DD-A868-DC99F8A778F7}">
  <dimension ref="A1"/>
  <sheetViews>
    <sheetView topLeftCell="D1" zoomScale="261" zoomScaleNormal="261" workbookViewId="0">
      <selection activeCell="J6" sqref="H6:J7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F7EC-E5AA-4DB2-8AF1-0DE987698E7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 grade</vt:lpstr>
      <vt:lpstr>Employee Data</vt:lpstr>
      <vt:lpstr>sales data </vt:lpstr>
      <vt:lpstr>Project Instructions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 PATTANI</dc:creator>
  <cp:keywords>EXCEL FILES</cp:keywords>
  <cp:lastModifiedBy>DHRUVI PATTANI</cp:lastModifiedBy>
  <dcterms:created xsi:type="dcterms:W3CDTF">2026-10-26T12:51:12Z</dcterms:created>
  <dcterms:modified xsi:type="dcterms:W3CDTF">2026-10-29T09:39:13Z</dcterms:modified>
</cp:coreProperties>
</file>